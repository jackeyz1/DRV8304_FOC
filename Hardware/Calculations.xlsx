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alculations for devi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<sst xmlns="http://schemas.openxmlformats.org/spreadsheetml/2006/main" uniqueCount="52">
  <si>
    <t>Calculations for device config</t>
  </si>
  <si>
    <t>UVLO / OV Resistor Divider Calculator</t>
  </si>
  <si>
    <t>For hot-swap controllers with 3-resistor divider (e.g. TPS2490, LM5069)</t>
  </si>
  <si>
    <t>IC Internal Thresholds</t>
  </si>
  <si>
    <t>IC PG Threshold</t>
  </si>
  <si>
    <t>V_UVLO(R)</t>
  </si>
  <si>
    <t>V</t>
  </si>
  <si>
    <t>UVLO rising threshold from datasheet</t>
  </si>
  <si>
    <t>R5 = 24k</t>
  </si>
  <si>
    <t>V_OV(R)</t>
  </si>
  <si>
    <t>OV rising threshold from datasheet</t>
  </si>
  <si>
    <t>R4 = 100-24=76k</t>
  </si>
  <si>
    <t>Desired Input Voltage Trip Points</t>
  </si>
  <si>
    <t>V_IN(UV)</t>
  </si>
  <si>
    <t>Undervoltage turn-on threshold</t>
  </si>
  <si>
    <t>V_IN(OV)</t>
  </si>
  <si>
    <t>Overvoltage shutdown threshold</t>
  </si>
  <si>
    <t>Total Divider Resistance</t>
  </si>
  <si>
    <t>R_total = R1 + R2 + R3</t>
  </si>
  <si>
    <t>kΩ</t>
  </si>
  <si>
    <t>Choose based on desired divider current</t>
  </si>
  <si>
    <t>Divider current at 12V</t>
  </si>
  <si>
    <t>µA</t>
  </si>
  <si>
    <t>12V / R_total</t>
  </si>
  <si>
    <t>Calculated Resistor Values</t>
  </si>
  <si>
    <t>R3</t>
  </si>
  <si>
    <t>R3 = V_OV(R) × R_total / V_IN(OV)</t>
  </si>
  <si>
    <t>R2</t>
  </si>
  <si>
    <t>R2 = V_UVLO × R_total / V_IN(UV) − R3</t>
  </si>
  <si>
    <t>R1</t>
  </si>
  <si>
    <t>R1 = R_total − R2 − R3</t>
  </si>
  <si>
    <t>Verification</t>
  </si>
  <si>
    <t>V_IN(UV) check</t>
  </si>
  <si>
    <t>Should match V_IN(UV) above</t>
  </si>
  <si>
    <t>V_IN(OV) check</t>
  </si>
  <si>
    <t>Should match V_IN(OV) above</t>
  </si>
  <si>
    <t>R_total check</t>
  </si>
  <si>
    <t>Should match R_total above</t>
  </si>
  <si>
    <t>Nearest Standard Values (manual entry)</t>
  </si>
  <si>
    <t>R1 standard</t>
  </si>
  <si>
    <t>Pick nearest E96/E24 to R1 above</t>
  </si>
  <si>
    <t>R2 standard</t>
  </si>
  <si>
    <t>Pick nearest E96/E24 to R2 above</t>
  </si>
  <si>
    <t>R3 standard</t>
  </si>
  <si>
    <t>Pick nearest E96/E24 to R3 above</t>
  </si>
  <si>
    <t>Actual Trip Points (standard values)</t>
  </si>
  <si>
    <t>V_IN(UV) actual</t>
  </si>
  <si>
    <t>V_IN(OV) actual</t>
  </si>
  <si>
    <t>UV error</t>
  </si>
  <si>
    <t>%</t>
  </si>
  <si>
    <t>OV error</t>
  </si>
  <si>
    <t>R_total actual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</si>
</sst>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0.000"/>
  </numFmts>
  <fonts count="8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Arial"/>
    </font>
    <font>
      <sz val="9"/>
      <color indexed="11"/>
      <name val="Arial"/>
    </font>
    <font>
      <sz val="12"/>
      <color indexed="8"/>
      <name val="Arial"/>
    </font>
    <font>
      <sz val="10"/>
      <color indexed="8"/>
      <name val="Arial"/>
    </font>
    <font>
      <sz val="10"/>
      <color indexed="15"/>
      <name val="Arial"/>
    </font>
    <font>
      <sz val="11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2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4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2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9"/>
      </left>
      <right style="thin">
        <color indexed="10"/>
      </right>
      <top style="medium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vertical="top" wrapText="1"/>
    </xf>
    <xf numFmtId="1" fontId="2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1" fontId="3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4" fillId="2" borderId="11" applyNumberFormat="1" applyFont="1" applyFill="1" applyBorder="1" applyAlignment="1" applyProtection="0">
      <alignment vertical="bottom"/>
    </xf>
    <xf numFmtId="1" fontId="0" fillId="2" borderId="12" applyNumberFormat="1" applyFont="1" applyFill="1" applyBorder="1" applyAlignment="1" applyProtection="0">
      <alignment vertical="bottom"/>
    </xf>
    <xf numFmtId="1" fontId="0" fillId="2" borderId="13" applyNumberFormat="1" applyFont="1" applyFill="1" applyBorder="1" applyAlignment="1" applyProtection="0">
      <alignment vertical="bottom"/>
    </xf>
    <xf numFmtId="1" fontId="0" fillId="2" borderId="14" applyNumberFormat="1" applyFont="1" applyFill="1" applyBorder="1" applyAlignment="1" applyProtection="0">
      <alignment vertical="bottom"/>
    </xf>
    <xf numFmtId="49" fontId="4" fillId="2" borderId="15" applyNumberFormat="1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49" fontId="5" borderId="18" applyNumberFormat="1" applyFont="1" applyFill="0" applyBorder="1" applyAlignment="1" applyProtection="0">
      <alignment vertical="top" wrapText="1"/>
    </xf>
    <xf numFmtId="2" fontId="6" fillId="3" borderId="19" applyNumberFormat="1" applyFont="1" applyFill="1" applyBorder="1" applyAlignment="1" applyProtection="0">
      <alignment vertical="bottom"/>
    </xf>
    <xf numFmtId="49" fontId="0" borderId="20" applyNumberFormat="1" applyFont="1" applyFill="0" applyBorder="1" applyAlignment="1" applyProtection="0">
      <alignment vertical="top" wrapText="1"/>
    </xf>
    <xf numFmtId="49" fontId="3" borderId="21" applyNumberFormat="1" applyFont="1" applyFill="0" applyBorder="1" applyAlignment="1" applyProtection="0">
      <alignment vertical="top" wrapText="1"/>
    </xf>
    <xf numFmtId="49" fontId="0" borderId="22" applyNumberFormat="1" applyFont="1" applyFill="0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49" fontId="5" borderId="25" applyNumberFormat="1" applyFont="1" applyFill="0" applyBorder="1" applyAlignment="1" applyProtection="0">
      <alignment vertical="top" wrapText="1"/>
    </xf>
    <xf numFmtId="49" fontId="0" borderId="26" applyNumberFormat="1" applyFont="1" applyFill="0" applyBorder="1" applyAlignment="1" applyProtection="0">
      <alignment vertical="top" wrapText="1"/>
    </xf>
    <xf numFmtId="49" fontId="3" borderId="27" applyNumberFormat="1" applyFont="1" applyFill="0" applyBorder="1" applyAlignment="1" applyProtection="0">
      <alignment vertical="top" wrapText="1"/>
    </xf>
    <xf numFmtId="49" fontId="0" borderId="28" applyNumberFormat="1" applyFont="1" applyFill="0" applyBorder="1" applyAlignment="1" applyProtection="0">
      <alignment vertical="top" wrapText="1"/>
    </xf>
    <xf numFmtId="0" fontId="0" borderId="29" applyNumberFormat="0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0" fontId="0" borderId="32" applyNumberFormat="0" applyFont="1" applyFill="0" applyBorder="1" applyAlignment="1" applyProtection="0">
      <alignment vertical="top" wrapText="1"/>
    </xf>
    <xf numFmtId="0" fontId="0" borderId="28" applyNumberFormat="0" applyFont="1" applyFill="0" applyBorder="1" applyAlignment="1" applyProtection="0">
      <alignment vertical="top" wrapText="1"/>
    </xf>
    <xf numFmtId="49" fontId="4" fillId="2" borderId="33" applyNumberFormat="1" applyFont="1" applyFill="1" applyBorder="1" applyAlignment="1" applyProtection="0">
      <alignment vertical="bottom"/>
    </xf>
    <xf numFmtId="1" fontId="0" fillId="2" borderId="34" applyNumberFormat="1" applyFont="1" applyFill="1" applyBorder="1" applyAlignment="1" applyProtection="0">
      <alignment vertical="bottom"/>
    </xf>
    <xf numFmtId="1" fontId="0" fillId="2" borderId="35" applyNumberFormat="1" applyFont="1" applyFill="1" applyBorder="1" applyAlignment="1" applyProtection="0">
      <alignment vertical="bottom"/>
    </xf>
    <xf numFmtId="1" fontId="0" fillId="2" borderId="36" applyNumberFormat="1" applyFont="1" applyFill="1" applyBorder="1" applyAlignment="1" applyProtection="0">
      <alignment vertical="bottom"/>
    </xf>
    <xf numFmtId="0" fontId="0" borderId="37" applyNumberFormat="0" applyFont="1" applyFill="0" applyBorder="1" applyAlignment="1" applyProtection="0">
      <alignment vertical="top" wrapText="1"/>
    </xf>
    <xf numFmtId="1" fontId="6" fillId="3" borderId="19" applyNumberFormat="1" applyFont="1" applyFill="1" applyBorder="1" applyAlignment="1" applyProtection="0">
      <alignment vertical="bottom"/>
    </xf>
    <xf numFmtId="0" fontId="0" borderId="38" applyNumberFormat="0" applyFont="1" applyFill="0" applyBorder="1" applyAlignment="1" applyProtection="0">
      <alignment vertical="top" wrapText="1"/>
    </xf>
    <xf numFmtId="59" fontId="5" borderId="19" applyNumberFormat="1" applyFont="1" applyFill="0" applyBorder="1" applyAlignment="1" applyProtection="0">
      <alignment vertical="top" wrapText="1"/>
    </xf>
    <xf numFmtId="49" fontId="4" fillId="4" borderId="33" applyNumberFormat="1" applyFont="1" applyFill="1" applyBorder="1" applyAlignment="1" applyProtection="0">
      <alignment vertical="bottom"/>
    </xf>
    <xf numFmtId="1" fontId="0" fillId="4" borderId="34" applyNumberFormat="1" applyFont="1" applyFill="1" applyBorder="1" applyAlignment="1" applyProtection="0">
      <alignment vertical="bottom"/>
    </xf>
    <xf numFmtId="1" fontId="0" fillId="4" borderId="35" applyNumberFormat="1" applyFont="1" applyFill="1" applyBorder="1" applyAlignment="1" applyProtection="0">
      <alignment vertical="bottom"/>
    </xf>
    <xf numFmtId="1" fontId="0" fillId="4" borderId="36" applyNumberFormat="1" applyFont="1" applyFill="1" applyBorder="1" applyAlignment="1" applyProtection="0">
      <alignment vertical="bottom"/>
    </xf>
    <xf numFmtId="60" fontId="7" borderId="19" applyNumberFormat="1" applyFont="1" applyFill="0" applyBorder="1" applyAlignment="1" applyProtection="0">
      <alignment vertical="top" wrapText="1"/>
    </xf>
    <xf numFmtId="60" fontId="5" borderId="19" applyNumberFormat="1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2" fontId="5" borderId="19" applyNumberFormat="1" applyFont="1" applyFill="0" applyBorder="1" applyAlignment="1" applyProtection="0">
      <alignment vertical="top" wrapText="1"/>
    </xf>
    <xf numFmtId="49" fontId="5" borderId="39" applyNumberFormat="1" applyFont="1" applyFill="0" applyBorder="1" applyAlignment="1" applyProtection="0">
      <alignment vertical="top" wrapText="1"/>
    </xf>
    <xf numFmtId="60" fontId="5" borderId="40" applyNumberFormat="1" applyFont="1" applyFill="0" applyBorder="1" applyAlignment="1" applyProtection="0">
      <alignment vertical="top" wrapText="1"/>
    </xf>
    <xf numFmtId="49" fontId="0" borderId="41" applyNumberFormat="1" applyFont="1" applyFill="0" applyBorder="1" applyAlignment="1" applyProtection="0">
      <alignment vertical="top" wrapText="1"/>
    </xf>
    <xf numFmtId="0" fontId="0" borderId="42" applyNumberFormat="0" applyFont="1" applyFill="0" applyBorder="1" applyAlignment="1" applyProtection="0">
      <alignment vertical="top" wrapText="1"/>
    </xf>
    <xf numFmtId="0" fontId="0" borderId="43" applyNumberFormat="0" applyFont="1" applyFill="0" applyBorder="1" applyAlignment="1" applyProtection="0">
      <alignment vertical="top" wrapText="1"/>
    </xf>
    <xf numFmtId="0" fontId="0" borderId="44" applyNumberFormat="0" applyFont="1" applyFill="0" applyBorder="1" applyAlignment="1" applyProtection="0">
      <alignment vertical="top" wrapText="1"/>
    </xf>
    <xf numFmtId="0" fontId="0" borderId="45" applyNumberFormat="0" applyFont="1" applyFill="0" applyBorder="1" applyAlignment="1" applyProtection="0">
      <alignment vertical="top" wrapText="1"/>
    </xf>
    <xf numFmtId="0" fontId="0" borderId="4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adad"/>
      <rgbColor rgb="ffe3e3e3"/>
      <rgbColor rgb="ff666666"/>
      <rgbColor rgb="fff6fafb"/>
      <rgbColor rgb="ffdaeef3"/>
      <rgbColor rgb="ffe6f1f5"/>
      <rgbColor rgb="ff0000ff"/>
      <rgbColor rgb="ffffff00"/>
      <rgbColor rgb="ffc6efc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8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4" customHeight="1">
      <c r="A2" t="s" s="3">
        <v>1</v>
      </c>
      <c r="B2" s="4"/>
      <c r="C2" s="4"/>
      <c r="D2" s="4"/>
      <c r="E2" s="5"/>
      <c r="F2" s="5"/>
      <c r="G2" s="6"/>
    </row>
    <row r="3" ht="19.95" customHeight="1">
      <c r="A3" t="s" s="7">
        <v>2</v>
      </c>
      <c r="B3" s="8"/>
      <c r="C3" s="8"/>
      <c r="D3" s="8"/>
      <c r="E3" s="9"/>
      <c r="F3" s="9"/>
      <c r="G3" s="10"/>
    </row>
    <row r="4" ht="20.8" customHeight="1">
      <c r="A4" s="11"/>
      <c r="B4" s="12"/>
      <c r="C4" s="12"/>
      <c r="D4" s="12"/>
      <c r="E4" s="13"/>
      <c r="F4" s="13"/>
      <c r="G4" s="14"/>
    </row>
    <row r="5" ht="17.1" customHeight="1">
      <c r="A5" t="s" s="15">
        <v>3</v>
      </c>
      <c r="B5" s="16"/>
      <c r="C5" s="17"/>
      <c r="D5" s="18"/>
      <c r="E5" t="s" s="19">
        <v>4</v>
      </c>
      <c r="F5" s="20"/>
      <c r="G5" s="21"/>
    </row>
    <row r="6" ht="28.7" customHeight="1">
      <c r="A6" t="s" s="22">
        <v>5</v>
      </c>
      <c r="B6" s="23">
        <v>1.2</v>
      </c>
      <c r="C6" t="s" s="24">
        <v>6</v>
      </c>
      <c r="D6" t="s" s="25">
        <v>7</v>
      </c>
      <c r="E6" t="s" s="26">
        <v>8</v>
      </c>
      <c r="F6" s="27"/>
      <c r="G6" s="28"/>
    </row>
    <row r="7" ht="28.7" customHeight="1">
      <c r="A7" t="s" s="29">
        <v>9</v>
      </c>
      <c r="B7" s="23">
        <v>1.2</v>
      </c>
      <c r="C7" t="s" s="30">
        <v>6</v>
      </c>
      <c r="D7" t="s" s="31">
        <v>10</v>
      </c>
      <c r="E7" t="s" s="32">
        <v>11</v>
      </c>
      <c r="F7" s="9"/>
      <c r="G7" s="10"/>
    </row>
    <row r="8" ht="20.7" customHeight="1">
      <c r="A8" s="33"/>
      <c r="B8" s="34"/>
      <c r="C8" s="35"/>
      <c r="D8" s="36"/>
      <c r="E8" s="37"/>
      <c r="F8" s="9"/>
      <c r="G8" s="10"/>
    </row>
    <row r="9" ht="20.7" customHeight="1">
      <c r="A9" t="s" s="38">
        <v>12</v>
      </c>
      <c r="B9" s="39"/>
      <c r="C9" s="40"/>
      <c r="D9" s="41"/>
      <c r="E9" s="37"/>
      <c r="F9" s="9"/>
      <c r="G9" s="10"/>
    </row>
    <row r="10" ht="28.7" customHeight="1">
      <c r="A10" t="s" s="22">
        <v>13</v>
      </c>
      <c r="B10" s="23">
        <v>3</v>
      </c>
      <c r="C10" t="s" s="24">
        <v>6</v>
      </c>
      <c r="D10" t="s" s="25">
        <v>14</v>
      </c>
      <c r="E10" s="37"/>
      <c r="F10" s="9"/>
      <c r="G10" s="10"/>
    </row>
    <row r="11" ht="28.7" customHeight="1">
      <c r="A11" t="s" s="29">
        <v>15</v>
      </c>
      <c r="B11" s="23">
        <v>24</v>
      </c>
      <c r="C11" t="s" s="30">
        <v>6</v>
      </c>
      <c r="D11" t="s" s="31">
        <v>16</v>
      </c>
      <c r="E11" s="37"/>
      <c r="F11" s="9"/>
      <c r="G11" s="10"/>
    </row>
    <row r="12" ht="20.7" customHeight="1">
      <c r="A12" s="33"/>
      <c r="B12" s="34"/>
      <c r="C12" s="35"/>
      <c r="D12" s="36"/>
      <c r="E12" s="33"/>
      <c r="F12" s="9"/>
      <c r="G12" s="10"/>
    </row>
    <row r="13" ht="20.7" customHeight="1">
      <c r="A13" t="s" s="38">
        <v>17</v>
      </c>
      <c r="B13" s="39"/>
      <c r="C13" s="40"/>
      <c r="D13" s="40"/>
      <c r="E13" s="40"/>
      <c r="F13" s="42"/>
      <c r="G13" s="10"/>
    </row>
    <row r="14" ht="38.7" customHeight="1">
      <c r="A14" t="s" s="22">
        <v>18</v>
      </c>
      <c r="B14" s="43">
        <v>200</v>
      </c>
      <c r="C14" t="s" s="24">
        <v>19</v>
      </c>
      <c r="D14" t="s" s="25">
        <v>20</v>
      </c>
      <c r="E14" s="44"/>
      <c r="F14" s="9"/>
      <c r="G14" s="10"/>
    </row>
    <row r="15" ht="30.65" customHeight="1">
      <c r="A15" t="s" s="29">
        <v>21</v>
      </c>
      <c r="B15" s="45" cm="1">
        <f t="array" ref="B15">B11/B14*1000</f>
        <v>120</v>
      </c>
      <c r="C15" t="s" s="30">
        <v>22</v>
      </c>
      <c r="D15" t="s" s="31">
        <v>23</v>
      </c>
      <c r="E15" s="37"/>
      <c r="F15" s="9"/>
      <c r="G15" s="10"/>
    </row>
    <row r="16" ht="20.7" customHeight="1">
      <c r="A16" s="33"/>
      <c r="B16" s="34"/>
      <c r="C16" s="35"/>
      <c r="D16" s="36"/>
      <c r="E16" s="37"/>
      <c r="F16" s="9"/>
      <c r="G16" s="10"/>
    </row>
    <row r="17" ht="20.7" customHeight="1">
      <c r="A17" t="s" s="46">
        <v>24</v>
      </c>
      <c r="B17" s="47"/>
      <c r="C17" s="48"/>
      <c r="D17" s="49"/>
      <c r="E17" s="37"/>
      <c r="F17" s="9"/>
      <c r="G17" s="10"/>
    </row>
    <row r="18" ht="28.7" customHeight="1">
      <c r="A18" t="s" s="22">
        <v>25</v>
      </c>
      <c r="B18" s="50" cm="1">
        <f t="array" ref="B18">B7*B14/B11</f>
        <v>10</v>
      </c>
      <c r="C18" t="s" s="24">
        <v>19</v>
      </c>
      <c r="D18" t="s" s="25">
        <v>26</v>
      </c>
      <c r="E18" s="37"/>
      <c r="F18" s="9"/>
      <c r="G18" s="10"/>
    </row>
    <row r="19" ht="38.7" customHeight="1">
      <c r="A19" t="s" s="29">
        <v>27</v>
      </c>
      <c r="B19" s="50" cm="1">
        <f t="array" ref="B19">B6*B14/B10-B18</f>
        <v>70</v>
      </c>
      <c r="C19" t="s" s="30">
        <v>19</v>
      </c>
      <c r="D19" t="s" s="31">
        <v>28</v>
      </c>
      <c r="E19" s="37"/>
      <c r="F19" s="9"/>
      <c r="G19" s="10"/>
    </row>
    <row r="20" ht="28.7" customHeight="1">
      <c r="A20" t="s" s="29">
        <v>29</v>
      </c>
      <c r="B20" s="50" cm="1">
        <f t="array" ref="B20">B14-B19-B18</f>
        <v>120</v>
      </c>
      <c r="C20" t="s" s="30">
        <v>19</v>
      </c>
      <c r="D20" t="s" s="31">
        <v>30</v>
      </c>
      <c r="E20" s="37"/>
      <c r="F20" s="9"/>
      <c r="G20" s="10"/>
    </row>
    <row r="21" ht="20.7" customHeight="1">
      <c r="A21" s="33"/>
      <c r="B21" s="34"/>
      <c r="C21" s="35"/>
      <c r="D21" s="36"/>
      <c r="E21" s="37"/>
      <c r="F21" s="9"/>
      <c r="G21" s="10"/>
    </row>
    <row r="22" ht="20.7" customHeight="1">
      <c r="A22" t="s" s="46">
        <v>31</v>
      </c>
      <c r="B22" s="47"/>
      <c r="C22" s="48"/>
      <c r="D22" s="49"/>
      <c r="E22" s="37"/>
      <c r="F22" s="9"/>
      <c r="G22" s="10"/>
    </row>
    <row r="23" ht="28.7" customHeight="1">
      <c r="A23" t="s" s="22">
        <v>32</v>
      </c>
      <c r="B23" s="51" cm="1">
        <f t="array" ref="B23">B6*(B20+B19+B18)/(B19+B18)</f>
        <v>3</v>
      </c>
      <c r="C23" t="s" s="24">
        <v>6</v>
      </c>
      <c r="D23" t="s" s="25">
        <v>33</v>
      </c>
      <c r="E23" s="37"/>
      <c r="F23" s="9"/>
      <c r="G23" s="10"/>
    </row>
    <row r="24" ht="28.7" customHeight="1">
      <c r="A24" t="s" s="29">
        <v>34</v>
      </c>
      <c r="B24" s="51" cm="1">
        <f t="array" ref="B24">B7*(B20+B19+B18)/B18</f>
        <v>24</v>
      </c>
      <c r="C24" t="s" s="30">
        <v>6</v>
      </c>
      <c r="D24" t="s" s="31">
        <v>35</v>
      </c>
      <c r="E24" s="37"/>
      <c r="F24" s="9"/>
      <c r="G24" s="10"/>
    </row>
    <row r="25" ht="28.7" customHeight="1">
      <c r="A25" t="s" s="29">
        <v>36</v>
      </c>
      <c r="B25" s="51" cm="1">
        <f t="array" ref="B25">B20+B19+B18</f>
        <v>200</v>
      </c>
      <c r="C25" t="s" s="30">
        <v>19</v>
      </c>
      <c r="D25" t="s" s="31">
        <v>37</v>
      </c>
      <c r="E25" s="37"/>
      <c r="F25" s="9"/>
      <c r="G25" s="10"/>
    </row>
    <row r="26" ht="20.7" customHeight="1">
      <c r="A26" s="33"/>
      <c r="B26" s="34"/>
      <c r="C26" s="35"/>
      <c r="D26" s="36"/>
      <c r="E26" s="37"/>
      <c r="F26" s="9"/>
      <c r="G26" s="10"/>
    </row>
    <row r="27" ht="20.7" customHeight="1">
      <c r="A27" t="s" s="38">
        <v>38</v>
      </c>
      <c r="B27" s="39"/>
      <c r="C27" s="40"/>
      <c r="D27" s="41"/>
      <c r="E27" s="37"/>
      <c r="F27" s="9"/>
      <c r="G27" s="10"/>
    </row>
    <row r="28" ht="28.7" customHeight="1">
      <c r="A28" t="s" s="22">
        <v>39</v>
      </c>
      <c r="B28" s="43">
        <v>120</v>
      </c>
      <c r="C28" t="s" s="24">
        <v>19</v>
      </c>
      <c r="D28" t="s" s="25">
        <v>40</v>
      </c>
      <c r="E28" s="37"/>
      <c r="F28" s="9"/>
      <c r="G28" s="10"/>
    </row>
    <row r="29" ht="28.7" customHeight="1">
      <c r="A29" t="s" s="29">
        <v>41</v>
      </c>
      <c r="B29" s="43">
        <v>68</v>
      </c>
      <c r="C29" t="s" s="30">
        <v>19</v>
      </c>
      <c r="D29" t="s" s="31">
        <v>42</v>
      </c>
      <c r="E29" s="37"/>
      <c r="F29" s="9"/>
      <c r="G29" s="10"/>
    </row>
    <row r="30" ht="28.7" customHeight="1">
      <c r="A30" t="s" s="29">
        <v>43</v>
      </c>
      <c r="B30" s="43">
        <v>10</v>
      </c>
      <c r="C30" t="s" s="30">
        <v>19</v>
      </c>
      <c r="D30" t="s" s="31">
        <v>44</v>
      </c>
      <c r="E30" s="37"/>
      <c r="F30" s="9"/>
      <c r="G30" s="10"/>
    </row>
    <row r="31" ht="20.7" customHeight="1">
      <c r="A31" s="33"/>
      <c r="B31" s="34"/>
      <c r="C31" s="35"/>
      <c r="D31" s="36"/>
      <c r="E31" s="37"/>
      <c r="F31" s="9"/>
      <c r="G31" s="10"/>
    </row>
    <row r="32" ht="20.7" customHeight="1">
      <c r="A32" t="s" s="46">
        <v>45</v>
      </c>
      <c r="B32" s="47"/>
      <c r="C32" s="48"/>
      <c r="D32" s="49"/>
      <c r="E32" s="37"/>
      <c r="F32" s="9"/>
      <c r="G32" s="10"/>
    </row>
    <row r="33" ht="20.7" customHeight="1">
      <c r="A33" t="s" s="22">
        <v>46</v>
      </c>
      <c r="B33" s="50" cm="1">
        <f t="array" ref="B33">IF(B28="","—",B6*(B28+B29+B30)/(B29+B30))</f>
        <v>3.04615384615385</v>
      </c>
      <c r="C33" t="s" s="24">
        <v>6</v>
      </c>
      <c r="D33" s="52"/>
      <c r="E33" s="37"/>
      <c r="F33" s="9"/>
      <c r="G33" s="10"/>
    </row>
    <row r="34" ht="20.7" customHeight="1">
      <c r="A34" t="s" s="29">
        <v>47</v>
      </c>
      <c r="B34" s="50" cm="1">
        <f t="array" ref="B34">IF(B28="","—",B7*(B28+B29+B30)/B30)</f>
        <v>23.76</v>
      </c>
      <c r="C34" t="s" s="30">
        <v>6</v>
      </c>
      <c r="D34" s="53"/>
      <c r="E34" s="37"/>
      <c r="F34" s="9"/>
      <c r="G34" s="10"/>
    </row>
    <row r="35" ht="20.7" customHeight="1">
      <c r="A35" t="s" s="29">
        <v>48</v>
      </c>
      <c r="B35" s="54" cm="1">
        <f t="array" ref="B35">IF(B28="","—",(B33-B10)/B10*100)</f>
        <v>1.53846153846167</v>
      </c>
      <c r="C35" t="s" s="30">
        <v>49</v>
      </c>
      <c r="D35" s="53"/>
      <c r="E35" s="37"/>
      <c r="F35" s="9"/>
      <c r="G35" s="10"/>
    </row>
    <row r="36" ht="20.7" customHeight="1">
      <c r="A36" t="s" s="29">
        <v>50</v>
      </c>
      <c r="B36" s="54" cm="1">
        <f t="array" ref="B36">IF(B28="","—",(B34-B11)/B11*100)</f>
        <v>-1</v>
      </c>
      <c r="C36" t="s" s="30">
        <v>49</v>
      </c>
      <c r="D36" s="53"/>
      <c r="E36" s="37"/>
      <c r="F36" s="9"/>
      <c r="G36" s="10"/>
    </row>
    <row r="37" ht="21.2" customHeight="1">
      <c r="A37" t="s" s="55">
        <v>51</v>
      </c>
      <c r="B37" s="56" cm="1">
        <f t="array" ref="B37">IF(B28="","—",B28+B29+B30)</f>
        <v>198</v>
      </c>
      <c r="C37" t="s" s="57">
        <v>19</v>
      </c>
      <c r="D37" s="58"/>
      <c r="E37" s="37"/>
      <c r="F37" s="9"/>
      <c r="G37" s="10"/>
    </row>
    <row r="38" ht="21.05" customHeight="1">
      <c r="A38" s="59"/>
      <c r="B38" s="60"/>
      <c r="C38" s="60"/>
      <c r="D38" s="60"/>
      <c r="E38" s="61"/>
      <c r="F38" s="61"/>
      <c r="G38" s="62"/>
    </row>
  </sheetData>
  <mergeCells count="4">
    <mergeCell ref="A1:G1"/>
    <mergeCell ref="A2:D2"/>
    <mergeCell ref="A3:D3"/>
    <mergeCell ref="E5:G5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